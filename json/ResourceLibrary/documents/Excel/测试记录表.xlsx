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2840"/>
  </bookViews>
  <sheets>
    <sheet name="测试记录表" sheetId="1" r:id="rId1"/>
    <sheet name="参数表" sheetId="2" r:id="rId2"/>
    <sheet name="模板使用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<sst xmlns="http://schemas.openxmlformats.org/spreadsheetml/2006/main" count="48" uniqueCount="44">
  <si>
    <t>测试记录表</t>
  </si>
  <si>
    <t>工作指令号：</t>
  </si>
  <si>
    <t>客户：</t>
  </si>
  <si>
    <t>中天科技</t>
  </si>
  <si>
    <t>测试单编号：</t>
  </si>
  <si>
    <t>客户PO:</t>
  </si>
  <si>
    <t>样机型号：</t>
  </si>
  <si>
    <t>M345J-FA</t>
  </si>
  <si>
    <t>序列号：</t>
  </si>
  <si>
    <t>生产厂家：</t>
  </si>
  <si>
    <t>SAEO</t>
  </si>
  <si>
    <t>机器名称：</t>
  </si>
  <si>
    <t>兆欧表</t>
  </si>
  <si>
    <t>批准人：</t>
  </si>
  <si>
    <t>日期：</t>
  </si>
  <si>
    <t>序号</t>
  </si>
  <si>
    <t>测试内容</t>
  </si>
  <si>
    <t>最大值</t>
  </si>
  <si>
    <t>最小值</t>
  </si>
  <si>
    <t>实测值</t>
  </si>
  <si>
    <t>测试日期</t>
  </si>
  <si>
    <t>状态</t>
  </si>
  <si>
    <t>直流输出500V</t>
  </si>
  <si>
    <t>直流输出400V</t>
  </si>
  <si>
    <t>直流输出300V</t>
  </si>
  <si>
    <t>直流输出200V</t>
  </si>
  <si>
    <t>直流输出100V</t>
  </si>
  <si>
    <t>直流输出50V</t>
  </si>
  <si>
    <t>直流电流20mA</t>
  </si>
  <si>
    <t>直流电流10mA</t>
  </si>
  <si>
    <t>直流电流5mA</t>
  </si>
  <si>
    <t>直流电流2mA</t>
  </si>
  <si>
    <t>样机型号</t>
  </si>
  <si>
    <t>机器名称</t>
  </si>
  <si>
    <t>生产厂家</t>
  </si>
  <si>
    <t>客户</t>
  </si>
  <si>
    <t>SANYO</t>
  </si>
  <si>
    <t>F3450-JE</t>
  </si>
  <si>
    <t>绝缘测试仪</t>
  </si>
  <si>
    <t>广招测绘</t>
  </si>
  <si>
    <t>AEG4364-9</t>
  </si>
  <si>
    <t>欧姆表</t>
  </si>
  <si>
    <t>TEATE</t>
  </si>
  <si>
    <t>元康实业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</si>
</sst>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8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double">
        <color theme="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1" xfId="0" applyNumberFormat="1" applyFont="1" applyFill="1" applyBorder="1" applyAlignment="1" applyProtection="1"/>
    <xf numFmtId="0" fontId="1" fillId="2" borderId="2" xfId="0" applyNumberFormat="1" applyFont="1" applyFill="1" applyBorder="1" applyAlignment="1" applyProtection="1"/>
    <xf numFmtId="0" fontId="1" fillId="2" borderId="3" xfId="0" applyNumberFormat="1" applyFont="1" applyFill="1" applyBorder="1" applyAlignment="1" applyProtection="1"/>
    <xf numFmtId="0" fontId="2" fillId="3" borderId="0" xfId="0" applyFont="1" applyFill="1" applyAlignment="1">
      <alignment horizontal="centerContinuous"/>
    </xf>
    <xf numFmtId="0" fontId="0" fillId="3" borderId="0" xfId="0" applyFill="1" applyAlignment="1">
      <alignment horizontal="centerContinuous"/>
    </xf>
    <xf numFmtId="0" fontId="0" fillId="3" borderId="4" xfId="0" applyFill="1" applyBorder="1"/>
    <xf numFmtId="0" fontId="0" fillId="3" borderId="0" xfId="0" applyFill="1" applyBorder="1"/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14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196850</xdr:colOff>
      <xdr:row>0</xdr:row>
      <xdr:rowOff>76200</xdr:rowOff>
    </xdr:from>
    <xdr:to>
      <xdr:col>7</xdr:col>
      <xdr:colOff>196850</xdr:colOff>
      <xdr:row>11</xdr:row>
      <xdr:rowOff>101600</xdr:rowOff>
    </xdr:to>
    <xdr:sp>
      <xdr:nvSpPr>
        <xdr:cNvPr id="2" name="文本框 1"/>
        <xdr:cNvSpPr txBox="1"/>
      </xdr:nvSpPr>
      <xdr:spPr>
        <a:xfrm>
          <a:off x="196850" y="76200"/>
          <a:ext cx="4316095" cy="23723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US" altLang="zh-CN" sz="1100"/>
            <a:t>1</a:t>
          </a:r>
          <a:r>
            <a:rPr lang="zh-CN" altLang="en-US" sz="1100"/>
            <a:t>、首先在参数表中将基础信息按照给出的参考进行本地化修改</a:t>
          </a:r>
          <a:endParaRPr lang="zh-CN" altLang="en-US" sz="1100"/>
        </a:p>
        <a:p>
          <a:pPr algn="l"/>
          <a:r>
            <a:rPr lang="en-US" altLang="zh-CN" sz="1100"/>
            <a:t>2</a:t>
          </a:r>
          <a:r>
            <a:rPr lang="zh-CN" altLang="en-US" sz="1100"/>
            <a:t>、测试记录表先填写表头部分，有四个基础数据在参数表中事先已定义，设置了下拉列表进行选择。</a:t>
          </a:r>
          <a:endParaRPr lang="zh-CN" altLang="en-US" sz="1100"/>
        </a:p>
        <a:p>
          <a:pPr algn="l"/>
          <a:r>
            <a:rPr lang="en-US" altLang="zh-CN" sz="1100"/>
            <a:t>3</a:t>
          </a:r>
          <a:r>
            <a:rPr lang="zh-CN" altLang="en-US" sz="1100"/>
            <a:t>、在测试内容中输入用户需要进行的测试内容，可纯文本或数字</a:t>
          </a:r>
          <a:endParaRPr lang="zh-CN" altLang="en-US" sz="1100"/>
        </a:p>
        <a:p>
          <a:pPr algn="l"/>
          <a:r>
            <a:rPr lang="en-US" altLang="zh-CN" sz="1100"/>
            <a:t>4</a:t>
          </a:r>
          <a:r>
            <a:rPr lang="zh-CN" altLang="en-US" sz="1100"/>
            <a:t>、在最大值和最小值列，需输入测试的上下限值，如无上限要求，则规定</a:t>
          </a:r>
          <a:r>
            <a:rPr lang="en-US" altLang="zh-CN" sz="1100"/>
            <a:t>999999</a:t>
          </a:r>
          <a:r>
            <a:rPr lang="zh-CN" altLang="en-US" sz="1100"/>
            <a:t>为无穷大填入最大值，如无下线要求，则将</a:t>
          </a:r>
          <a:r>
            <a:rPr lang="en-US" altLang="zh-CN" sz="1100"/>
            <a:t>0</a:t>
          </a:r>
          <a:r>
            <a:rPr lang="zh-CN" altLang="en-US" sz="1100"/>
            <a:t>填入最小值。用户也可按要求自己定义规则。</a:t>
          </a:r>
          <a:endParaRPr lang="zh-CN" altLang="en-US" sz="1100"/>
        </a:p>
        <a:p>
          <a:pPr algn="l"/>
          <a:r>
            <a:rPr lang="en-US" altLang="zh-CN" sz="1100"/>
            <a:t>5</a:t>
          </a:r>
          <a:r>
            <a:rPr lang="zh-CN" altLang="en-US" sz="1100"/>
            <a:t>、填写实测值后，模板自动判断测试是否合格，不合格填充红色提示用户。</a:t>
          </a:r>
          <a:endParaRPr lang="en-US" altLang="zh-CN" sz="1100"/>
        </a:p>
      </xdr:txBody>
    </xdr:sp>
    <xdr:clientData/>
  </xdr:twoCellAnchor>
</xdr:wsDr>
</file>

<file path=xl/tables/table1.xml><?xml version="1.0" encoding="utf-8"?>
<table xmlns="http://schemas.openxmlformats.org/spreadsheetml/2006/main" id="1" name="Table1" displayName="Table1" ref="A8:G18" totalsRowShown="0">
  <autoFilter xmlns:etc="http://www.wps.cn/officeDocument/2017/etCustomData" ref="A8:G18" etc:filterBottomFollowUsedRange="0"/>
  <tableColumns count="7">
    <tableColumn id="1" name="序号" dataDxfId="0"/>
    <tableColumn id="2" name="测试内容" dataDxfId="1"/>
    <tableColumn id="3" name="最大值" dataDxfId="2"/>
    <tableColumn id="4" name="最小值" dataDxfId="3"/>
    <tableColumn id="5" name="实测值" dataDxfId="4"/>
    <tableColumn id="6" name="测试日期" dataDxfId="5"/>
    <tableColumn id="7" name="状态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abSelected="1" zoomScale="120" zoomScaleNormal="120" topLeftCell="A3" workbookViewId="0">
      <selection activeCell="H9" sqref="H9"/>
    </sheetView>
  </sheetViews>
  <sheetFormatPr defaultColWidth="9" defaultRowHeight="16.8" outlineLevelCol="6"/>
  <cols>
    <col min="1" max="1" width="7.41964285714286" customWidth="1"/>
    <col min="2" max="2" width="20.8303571428571" customWidth="1"/>
    <col min="3" max="3" width="15" customWidth="1"/>
    <col min="4" max="6" width="11.75" customWidth="1"/>
  </cols>
  <sheetData>
    <row r="1" ht="26" spans="1:7">
      <c r="A1" s="4" t="s">
        <v>0</v>
      </c>
      <c r="B1" s="4"/>
      <c r="C1" s="4"/>
      <c r="D1" s="4"/>
      <c r="E1" s="4"/>
      <c r="F1" s="4"/>
      <c r="G1" s="4"/>
    </row>
    <row r="2" ht="17.55" spans="1:7">
      <c r="A2" s="5"/>
      <c r="B2" s="5"/>
      <c r="C2" s="5"/>
      <c r="D2" s="5"/>
      <c r="E2" s="5"/>
      <c r="F2" s="5"/>
      <c r="G2" s="5"/>
    </row>
    <row r="3" ht="17.55" spans="1:7">
      <c r="A3" s="6"/>
      <c r="B3" s="6" t="s">
        <v>1</v>
      </c>
      <c r="C3" s="6"/>
      <c r="D3" s="6"/>
      <c r="E3" s="6" t="s">
        <v>2</v>
      </c>
      <c r="F3" s="6" t="s">
        <v>3</v>
      </c>
      <c r="G3" s="6"/>
    </row>
    <row r="4" spans="1:7">
      <c r="A4" s="7"/>
      <c r="B4" s="7" t="s">
        <v>4</v>
      </c>
      <c r="C4" s="7"/>
      <c r="D4" s="7"/>
      <c r="E4" s="7" t="s">
        <v>5</v>
      </c>
      <c r="F4" s="7"/>
      <c r="G4" s="7"/>
    </row>
    <row r="5" spans="1:7">
      <c r="A5" s="7"/>
      <c r="B5" s="7" t="s">
        <v>6</v>
      </c>
      <c r="C5" s="7" t="s">
        <v>7</v>
      </c>
      <c r="D5" s="7"/>
      <c r="E5" s="7" t="s">
        <v>8</v>
      </c>
      <c r="F5" s="7"/>
      <c r="G5" s="7"/>
    </row>
    <row r="6" spans="1:7">
      <c r="A6" s="7"/>
      <c r="B6" s="7" t="s">
        <v>9</v>
      </c>
      <c r="C6" s="7" t="s">
        <v>10</v>
      </c>
      <c r="D6" s="7"/>
      <c r="E6" s="7" t="s">
        <v>11</v>
      </c>
      <c r="F6" s="7" t="s">
        <v>12</v>
      </c>
      <c r="G6" s="7"/>
    </row>
    <row r="7" spans="1:7">
      <c r="A7" s="7"/>
      <c r="B7" s="7" t="s">
        <v>13</v>
      </c>
      <c r="C7" s="7"/>
      <c r="D7" s="7"/>
      <c r="E7" s="7" t="s">
        <v>14</v>
      </c>
      <c r="F7" s="7"/>
      <c r="G7" s="7"/>
    </row>
    <row r="8" spans="1:7">
      <c r="A8" s="8" t="s">
        <v>15</v>
      </c>
      <c r="B8" s="9" t="s">
        <v>16</v>
      </c>
      <c r="C8" s="8" t="s">
        <v>17</v>
      </c>
      <c r="D8" s="8" t="s">
        <v>18</v>
      </c>
      <c r="E8" s="9" t="s">
        <v>19</v>
      </c>
      <c r="F8" s="9" t="s">
        <v>20</v>
      </c>
      <c r="G8" s="9" t="s">
        <v>21</v>
      </c>
    </row>
    <row r="9" spans="1:7">
      <c r="A9" s="8">
        <v>1</v>
      </c>
      <c r="B9" s="8" t="s">
        <v>22</v>
      </c>
      <c r="C9" s="8">
        <v>503</v>
      </c>
      <c r="D9" s="8">
        <v>497</v>
      </c>
      <c r="E9" s="8">
        <v>496</v>
      </c>
      <c r="F9" s="10">
        <v>44393</v>
      </c>
      <c r="G9" s="8" t="str">
        <f t="shared" ref="G9:G18" si="0">_xlfn.IFS(OR(C9="",D9=",E9="),"",AND(C9&gt;=E9,D9&lt;=E9),"合格",OR(C9&lt;E9,D9&gt;E9),"不合格")</f>
        <v>不合格</v>
      </c>
    </row>
    <row r="10" spans="1:7">
      <c r="A10" s="8">
        <v>2</v>
      </c>
      <c r="B10" s="8" t="s">
        <v>23</v>
      </c>
      <c r="C10" s="8">
        <v>402</v>
      </c>
      <c r="D10" s="8">
        <v>398</v>
      </c>
      <c r="E10" s="8">
        <v>400.1</v>
      </c>
      <c r="F10" s="10">
        <v>44393</v>
      </c>
      <c r="G10" s="8" t="str">
        <f t="shared" si="0"/>
        <v>合格</v>
      </c>
    </row>
    <row r="11" spans="1:7">
      <c r="A11" s="8">
        <v>3</v>
      </c>
      <c r="B11" s="8" t="s">
        <v>24</v>
      </c>
      <c r="C11" s="8">
        <v>305</v>
      </c>
      <c r="D11" s="8">
        <v>298</v>
      </c>
      <c r="E11" s="8">
        <v>301</v>
      </c>
      <c r="F11" s="10">
        <v>44393</v>
      </c>
      <c r="G11" s="8" t="str">
        <f t="shared" si="0"/>
        <v>合格</v>
      </c>
    </row>
    <row r="12" spans="1:7">
      <c r="A12" s="8">
        <v>4</v>
      </c>
      <c r="B12" s="8" t="s">
        <v>25</v>
      </c>
      <c r="C12" s="8">
        <v>202</v>
      </c>
      <c r="D12" s="8">
        <v>198</v>
      </c>
      <c r="E12" s="8">
        <v>201</v>
      </c>
      <c r="F12" s="10">
        <v>44393</v>
      </c>
      <c r="G12" s="8" t="str">
        <f t="shared" si="0"/>
        <v>合格</v>
      </c>
    </row>
    <row r="13" spans="1:7">
      <c r="A13" s="8">
        <v>5</v>
      </c>
      <c r="B13" s="8" t="s">
        <v>26</v>
      </c>
      <c r="C13" s="8">
        <v>102</v>
      </c>
      <c r="D13" s="8">
        <v>99</v>
      </c>
      <c r="E13" s="8">
        <v>100.5</v>
      </c>
      <c r="F13" s="10">
        <v>44393</v>
      </c>
      <c r="G13" s="8" t="str">
        <f t="shared" si="0"/>
        <v>合格</v>
      </c>
    </row>
    <row r="14" spans="1:7">
      <c r="A14" s="8">
        <v>6</v>
      </c>
      <c r="B14" s="8" t="s">
        <v>27</v>
      </c>
      <c r="C14" s="8">
        <v>51</v>
      </c>
      <c r="D14" s="8">
        <v>49</v>
      </c>
      <c r="E14" s="8">
        <v>49.7</v>
      </c>
      <c r="F14" s="10">
        <v>44393</v>
      </c>
      <c r="G14" s="8" t="str">
        <f t="shared" si="0"/>
        <v>合格</v>
      </c>
    </row>
    <row r="15" spans="1:7">
      <c r="A15" s="8">
        <v>7</v>
      </c>
      <c r="B15" s="8" t="s">
        <v>28</v>
      </c>
      <c r="C15" s="8">
        <v>21</v>
      </c>
      <c r="D15" s="8">
        <v>19</v>
      </c>
      <c r="E15" s="8">
        <v>20.5</v>
      </c>
      <c r="F15" s="10">
        <v>44393</v>
      </c>
      <c r="G15" s="8" t="str">
        <f t="shared" si="0"/>
        <v>合格</v>
      </c>
    </row>
    <row r="16" spans="1:7">
      <c r="A16" s="8">
        <v>8</v>
      </c>
      <c r="B16" s="8" t="s">
        <v>29</v>
      </c>
      <c r="C16" s="8">
        <v>11</v>
      </c>
      <c r="D16" s="8">
        <v>9</v>
      </c>
      <c r="E16" s="8">
        <v>10.3</v>
      </c>
      <c r="F16" s="10">
        <v>44393</v>
      </c>
      <c r="G16" s="8" t="str">
        <f t="shared" si="0"/>
        <v>合格</v>
      </c>
    </row>
    <row r="17" spans="1:7">
      <c r="A17" s="8">
        <v>9</v>
      </c>
      <c r="B17" s="8" t="s">
        <v>30</v>
      </c>
      <c r="C17" s="8">
        <v>5.2</v>
      </c>
      <c r="D17" s="8">
        <v>4.8</v>
      </c>
      <c r="E17" s="8">
        <v>4.99</v>
      </c>
      <c r="F17" s="10">
        <v>44393</v>
      </c>
      <c r="G17" s="8" t="str">
        <f t="shared" si="0"/>
        <v>合格</v>
      </c>
    </row>
    <row r="18" spans="1:7">
      <c r="A18" s="8">
        <v>10</v>
      </c>
      <c r="B18" s="8" t="s">
        <v>31</v>
      </c>
      <c r="C18" s="8">
        <v>2.1</v>
      </c>
      <c r="D18" s="8">
        <v>1.9</v>
      </c>
      <c r="E18" s="8">
        <v>2.2</v>
      </c>
      <c r="F18" s="10">
        <v>44393</v>
      </c>
      <c r="G18" s="8" t="str">
        <f t="shared" si="0"/>
        <v>不合格</v>
      </c>
    </row>
  </sheetData>
  <conditionalFormatting sqref="G9:G18">
    <cfRule type="expression" dxfId="7" priority="1">
      <formula>OR($E9&gt;$C9,$E9&lt;$D9)</formula>
    </cfRule>
  </conditionalFormatting>
  <dataValidations count="4">
    <dataValidation type="list" allowBlank="1" showInputMessage="1" showErrorMessage="1" sqref="F3">
      <formula1>参数表!$D$2:$D$1000</formula1>
    </dataValidation>
    <dataValidation type="list" allowBlank="1" showInputMessage="1" showErrorMessage="1" sqref="C5">
      <formula1>参数表!$A$2:$A$1000</formula1>
    </dataValidation>
    <dataValidation type="list" allowBlank="1" showInputMessage="1" showErrorMessage="1" sqref="C6">
      <formula1>参数表!$C$2:$C$1000</formula1>
    </dataValidation>
    <dataValidation type="list" allowBlank="1" showInputMessage="1" showErrorMessage="1" sqref="F6">
      <formula1>参数表!$B$2:$B$1000</formula1>
    </dataValidation>
  </dataValidations>
  <pageMargins left="0.7" right="0.7" top="0.75" bottom="0.75" header="0.3" footer="0.3"/>
  <pageSetup paperSize="1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D6" sqref="D6"/>
    </sheetView>
  </sheetViews>
  <sheetFormatPr defaultColWidth="8.66964285714286" defaultRowHeight="16.8" outlineLevelRow="3" outlineLevelCol="3"/>
  <cols>
    <col min="1" max="1" width="12.0803571428571" customWidth="1"/>
    <col min="2" max="2" width="10.6696428571429" customWidth="1"/>
    <col min="3" max="3" width="10.25" customWidth="1"/>
    <col min="4" max="4" width="16.25" customWidth="1"/>
  </cols>
  <sheetData>
    <row r="1" spans="1:4">
      <c r="A1" s="1" t="s">
        <v>32</v>
      </c>
      <c r="B1" s="2" t="s">
        <v>33</v>
      </c>
      <c r="C1" s="2" t="s">
        <v>34</v>
      </c>
      <c r="D1" s="3" t="s">
        <v>35</v>
      </c>
    </row>
    <row r="2" spans="1:4">
      <c r="A2" t="s">
        <v>7</v>
      </c>
      <c r="B2" t="s">
        <v>12</v>
      </c>
      <c r="C2" t="s">
        <v>36</v>
      </c>
      <c r="D2" t="s">
        <v>3</v>
      </c>
    </row>
    <row r="3" spans="1:4">
      <c r="A3" t="s">
        <v>37</v>
      </c>
      <c r="B3" t="s">
        <v>38</v>
      </c>
      <c r="C3" t="s">
        <v>10</v>
      </c>
      <c r="D3" t="s">
        <v>39</v>
      </c>
    </row>
    <row r="4" spans="1:4">
      <c r="A4" t="s">
        <v>40</v>
      </c>
      <c r="B4" t="s">
        <v>41</v>
      </c>
      <c r="C4" t="s">
        <v>42</v>
      </c>
      <c r="D4" t="s">
        <v>43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16" sqref="C16"/>
    </sheetView>
  </sheetViews>
  <sheetFormatPr defaultColWidth="8.66964285714286" defaultRowHeight="16.8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测试记录表</vt:lpstr>
      <vt:lpstr>参数表</vt:lpstr>
      <vt:lpstr>模板使用说明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Hu, Xiaolong</dc:creator>
  <cp:lastModifiedBy>陈春波</cp:lastModifiedBy>
  <dcterms:created xsi:type="dcterms:W3CDTF">2021-07-16T16:29:00Z</dcterms:created>
  <cp:lastPrinted>2021-07-16T21:29:00Z</cp:lastPrinted>
  <dcterms:modified xsi:type="dcterms:W3CDTF">2026-03-02T20:51:08Z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352D1DF2609B67389187A56955C40A87_41</vt:lpwstr>
  </property>
  <property fmtid="{D5CDD505-2E9C-101B-9397-08002B2CF9AE}" pid="3" name="EM_Doc_Temp_ID">
    <vt:lpwstr>fd477de0</vt:lpwstr>
  </property>
  <property fmtid="{D5CDD505-2E9C-101B-9397-08002B2CF9AE}" pid="4" name="KSOProductBuildVer">
    <vt:lpwstr>2052-12.1.25205.25205</vt:lpwstr>
  </property>
  <property fmtid="{D5CDD505-2E9C-101B-9397-08002B2CF9AE}" pid="5" name="KSOTemplateUUID">
    <vt:lpwstr>v1.0_mb_7T5lr3J04+bRLPFJu0iISw==</vt:lpwstr>
  </property>
  <property fmtid="{D5CDD505-2E9C-101B-9397-08002B2CF9AE}" pid="6" name="CalculationRule">
    <vt:i4>0</vt:i4>
  </property>
</Properties>
</file>